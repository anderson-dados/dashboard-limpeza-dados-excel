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180e520f9dd212/Desktop/Projetos/Excel/"/>
    </mc:Choice>
  </mc:AlternateContent>
  <xr:revisionPtr revIDLastSave="2" documentId="8_{89AE166E-B52F-4369-BF13-72374975C304}" xr6:coauthVersionLast="47" xr6:coauthVersionMax="47" xr10:uidLastSave="{2A81D1F0-3721-45B6-81EC-A6C3DAE07D59}"/>
  <bookViews>
    <workbookView xWindow="-108" yWindow="-108" windowWidth="23256" windowHeight="12456" activeTab="3" xr2:uid="{C800B8BC-CB72-4FDD-A70E-19DCE935A681}"/>
  </bookViews>
  <sheets>
    <sheet name="Base Suja" sheetId="1" r:id="rId1"/>
    <sheet name="Base Limpa" sheetId="2" r:id="rId2"/>
    <sheet name="Tabelas Dinâmicas" sheetId="3" r:id="rId3"/>
    <sheet name="Dashboard" sheetId="5" r:id="rId4"/>
  </sheets>
  <definedNames>
    <definedName name="SegmentaçãodeDados_Categoria">#N/A</definedName>
    <definedName name="SegmentaçãodeDados_Client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5" l="1"/>
  <c r="G2" i="5"/>
  <c r="E2" i="5"/>
  <c r="C2" i="5"/>
  <c r="A2" i="5"/>
</calcChain>
</file>

<file path=xl/sharedStrings.xml><?xml version="1.0" encoding="utf-8"?>
<sst xmlns="http://schemas.openxmlformats.org/spreadsheetml/2006/main" count="244" uniqueCount="64">
  <si>
    <t>Data</t>
  </si>
  <si>
    <t>Cliente</t>
  </si>
  <si>
    <t>Categoria</t>
  </si>
  <si>
    <t>Produto</t>
  </si>
  <si>
    <t>Valor</t>
  </si>
  <si>
    <t>Status</t>
  </si>
  <si>
    <t>Ana</t>
  </si>
  <si>
    <t>perifericos</t>
  </si>
  <si>
    <t>Mouse Gamer</t>
  </si>
  <si>
    <t>Pago</t>
  </si>
  <si>
    <t>ANA</t>
  </si>
  <si>
    <t>Periféricos</t>
  </si>
  <si>
    <t>pago</t>
  </si>
  <si>
    <t>Bruno</t>
  </si>
  <si>
    <t>Monitores</t>
  </si>
  <si>
    <t>Monitor 24</t>
  </si>
  <si>
    <t>Carlos</t>
  </si>
  <si>
    <t>monitor</t>
  </si>
  <si>
    <t>Monitor 27</t>
  </si>
  <si>
    <t>PAGO</t>
  </si>
  <si>
    <t>Maria</t>
  </si>
  <si>
    <t>Audio</t>
  </si>
  <si>
    <t>Headset RGB</t>
  </si>
  <si>
    <t>Pendente</t>
  </si>
  <si>
    <t>João</t>
  </si>
  <si>
    <t>Vídeo</t>
  </si>
  <si>
    <t>Webcam HD</t>
  </si>
  <si>
    <t>abc</t>
  </si>
  <si>
    <t>Joao</t>
  </si>
  <si>
    <t>video</t>
  </si>
  <si>
    <t>Fernanda</t>
  </si>
  <si>
    <t>Perifericos</t>
  </si>
  <si>
    <t>Teclado Mecânico</t>
  </si>
  <si>
    <t>fernanda</t>
  </si>
  <si>
    <t>Ricardo</t>
  </si>
  <si>
    <t>Paula</t>
  </si>
  <si>
    <t>Áudio</t>
  </si>
  <si>
    <t>paula</t>
  </si>
  <si>
    <t>audio</t>
  </si>
  <si>
    <t>pendente</t>
  </si>
  <si>
    <t>Lucas</t>
  </si>
  <si>
    <t>Video</t>
  </si>
  <si>
    <t>Marina</t>
  </si>
  <si>
    <t>MARINA</t>
  </si>
  <si>
    <t>Felipe</t>
  </si>
  <si>
    <t>Juliana</t>
  </si>
  <si>
    <t>Gustavo</t>
  </si>
  <si>
    <t>monitores</t>
  </si>
  <si>
    <t>Camila</t>
  </si>
  <si>
    <t>xyz</t>
  </si>
  <si>
    <t>André</t>
  </si>
  <si>
    <t>Andre</t>
  </si>
  <si>
    <t>Pendende</t>
  </si>
  <si>
    <t>WebCam HD</t>
  </si>
  <si>
    <t>Rótulos de Linha</t>
  </si>
  <si>
    <t>Total Geral</t>
  </si>
  <si>
    <t>Soma de Valor</t>
  </si>
  <si>
    <t>Contagem de Status</t>
  </si>
  <si>
    <t>(Tudo)</t>
  </si>
  <si>
    <t>Total Vendido</t>
  </si>
  <si>
    <t>Maior Venda</t>
  </si>
  <si>
    <t>Média de Venda</t>
  </si>
  <si>
    <t>Qtd. de Pedidos</t>
  </si>
  <si>
    <t>Qtd.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</si>
</sst>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i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4" fontId="0" fillId="0" borderId="5" xfId="1" applyFon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44" fontId="0" fillId="0" borderId="8" xfId="1" applyFont="1" applyBorder="1"/>
    <xf numFmtId="0" fontId="0" fillId="0" borderId="9" xfId="0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44" fontId="2" fillId="3" borderId="13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4" fontId="2" fillId="3" borderId="15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4" fontId="2" fillId="3" borderId="14" xfId="0" applyNumberFormat="1" applyFont="1" applyFill="1" applyBorder="1" applyAlignment="1">
      <alignment horizontal="center" vertical="center"/>
    </xf>
    <xf numFmtId="44" fontId="2" fillId="3" borderId="17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8" fontId="2" fillId="3" borderId="13" xfId="0" applyNumberFormat="1" applyFont="1" applyFill="1" applyBorder="1" applyAlignment="1">
      <alignment horizontal="center" vertical="center"/>
    </xf>
    <xf numFmtId="168" fontId="2" fillId="3" borderId="14" xfId="0" applyNumberFormat="1" applyFont="1" applyFill="1" applyBorder="1" applyAlignment="1">
      <alignment horizontal="center" vertical="center"/>
    </xf>
    <xf numFmtId="168" fontId="2" fillId="3" borderId="15" xfId="0" applyNumberFormat="1" applyFont="1" applyFill="1" applyBorder="1" applyAlignment="1">
      <alignment horizontal="center" vertical="center"/>
    </xf>
    <xf numFmtId="168" fontId="2" fillId="3" borderId="17" xfId="0" applyNumberFormat="1" applyFont="1" applyFill="1" applyBorder="1" applyAlignment="1">
      <alignment horizontal="center" vertical="center"/>
    </xf>
    <xf numFmtId="44" fontId="2" fillId="3" borderId="13" xfId="1" applyFont="1" applyFill="1" applyBorder="1" applyAlignment="1">
      <alignment horizontal="center" vertical="center"/>
    </xf>
    <xf numFmtId="44" fontId="2" fillId="3" borderId="14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[dashboard-limpeza-dados.xlsx]Tabelas Dinâmicas!Tabela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Dinâmicas'!$A$2:$A$6</c:f>
              <c:strCache>
                <c:ptCount val="4"/>
                <c:pt idx="0">
                  <c:v>Áudio</c:v>
                </c:pt>
                <c:pt idx="1">
                  <c:v>Monitores</c:v>
                </c:pt>
                <c:pt idx="2">
                  <c:v>Periféricos</c:v>
                </c:pt>
                <c:pt idx="3">
                  <c:v>Vídeo</c:v>
                </c:pt>
              </c:strCache>
            </c:strRef>
          </c:cat>
          <c:val>
            <c:numRef>
              <c:f>'Tabelas Dinâmicas'!$B$2:$B$6</c:f>
              <c:numCache>
                <c:formatCode>General</c:formatCode>
                <c:ptCount val="4"/>
                <c:pt idx="0">
                  <c:v>960</c:v>
                </c:pt>
                <c:pt idx="1">
                  <c:v>6300</c:v>
                </c:pt>
                <c:pt idx="2">
                  <c:v>740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5-4DC7-9D49-97DC204C44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0476928"/>
        <c:axId val="1780477408"/>
      </c:barChart>
      <c:catAx>
        <c:axId val="17804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477408"/>
        <c:crosses val="autoZero"/>
        <c:auto val="1"/>
        <c:lblAlgn val="ctr"/>
        <c:lblOffset val="100"/>
        <c:noMultiLvlLbl val="0"/>
      </c:catAx>
      <c:valAx>
        <c:axId val="17804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47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[dashboard-limpeza-dados.xlsx]Tabelas Dinâmicas!Tabela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Dinâmicas'!$D$4:$D$9</c:f>
              <c:strCache>
                <c:ptCount val="5"/>
                <c:pt idx="0">
                  <c:v>Bruno</c:v>
                </c:pt>
                <c:pt idx="1">
                  <c:v>Carlos</c:v>
                </c:pt>
                <c:pt idx="2">
                  <c:v>Gustavo</c:v>
                </c:pt>
                <c:pt idx="3">
                  <c:v>Marina</c:v>
                </c:pt>
                <c:pt idx="4">
                  <c:v>Ricardo</c:v>
                </c:pt>
              </c:strCache>
            </c:strRef>
          </c:cat>
          <c:val>
            <c:numRef>
              <c:f>'Tabelas Dinâmicas'!$E$4:$E$9</c:f>
              <c:numCache>
                <c:formatCode>General</c:formatCode>
                <c:ptCount val="5"/>
                <c:pt idx="0">
                  <c:v>900</c:v>
                </c:pt>
                <c:pt idx="1">
                  <c:v>1800</c:v>
                </c:pt>
                <c:pt idx="2">
                  <c:v>900</c:v>
                </c:pt>
                <c:pt idx="3">
                  <c:v>1800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B-424D-9CE3-0B03EC0349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5634048"/>
        <c:axId val="1985627808"/>
      </c:barChart>
      <c:catAx>
        <c:axId val="198563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5627808"/>
        <c:crosses val="autoZero"/>
        <c:auto val="1"/>
        <c:lblAlgn val="ctr"/>
        <c:lblOffset val="100"/>
        <c:noMultiLvlLbl val="0"/>
      </c:catAx>
      <c:valAx>
        <c:axId val="198562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563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[dashboard-limpeza-dados.xlsx]Tabelas Dinâmicas!Tabela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Pedidos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74-41A0-AA88-B23A23537B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74-41A0-AA88-B23A23537B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Dinâmicas'!$G$2:$G$4</c:f>
              <c:strCache>
                <c:ptCount val="2"/>
                <c:pt idx="0">
                  <c:v>Pago</c:v>
                </c:pt>
                <c:pt idx="1">
                  <c:v>Pendende</c:v>
                </c:pt>
              </c:strCache>
            </c:strRef>
          </c:cat>
          <c:val>
            <c:numRef>
              <c:f>'Tabelas Dinâmicas'!$H$2:$H$4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4-41A0-AA88-B23A23537B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3</xdr:row>
      <xdr:rowOff>30480</xdr:rowOff>
    </xdr:from>
    <xdr:to>
      <xdr:col>4</xdr:col>
      <xdr:colOff>571500</xdr:colOff>
      <xdr:row>12</xdr:row>
      <xdr:rowOff>126398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0CD6EA-57D2-4383-A659-09BAB2CC1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3</xdr:row>
      <xdr:rowOff>30480</xdr:rowOff>
    </xdr:from>
    <xdr:to>
      <xdr:col>9</xdr:col>
      <xdr:colOff>655320</xdr:colOff>
      <xdr:row>12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A685C0-3646-44CA-B493-9B82608D6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12</xdr:row>
      <xdr:rowOff>163286</xdr:rowOff>
    </xdr:from>
    <xdr:to>
      <xdr:col>4</xdr:col>
      <xdr:colOff>575094</xdr:colOff>
      <xdr:row>22</xdr:row>
      <xdr:rowOff>143774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56054F-AEAC-47E8-B7AA-8416DE2BA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19112</xdr:colOff>
      <xdr:row>0</xdr:row>
      <xdr:rowOff>1</xdr:rowOff>
    </xdr:from>
    <xdr:to>
      <xdr:col>12</xdr:col>
      <xdr:colOff>587115</xdr:colOff>
      <xdr:row>12</xdr:row>
      <xdr:rowOff>124919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B63DEF6A-1C83-8DF5-2AED-1DCE45F7BE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1266" y="1"/>
              <a:ext cx="1787203" cy="2422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6621</xdr:colOff>
      <xdr:row>0</xdr:row>
      <xdr:rowOff>1</xdr:rowOff>
    </xdr:from>
    <xdr:to>
      <xdr:col>16</xdr:col>
      <xdr:colOff>1624</xdr:colOff>
      <xdr:row>12</xdr:row>
      <xdr:rowOff>124919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liente">
              <a:extLst>
                <a:ext uri="{FF2B5EF4-FFF2-40B4-BE49-F238E27FC236}">
                  <a16:creationId xmlns:a16="http://schemas.microsoft.com/office/drawing/2014/main" id="{4818154B-9DBC-DB14-14CD-0AFCA65E95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2744" y="1"/>
              <a:ext cx="1823803" cy="2422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4</xdr:col>
      <xdr:colOff>649572</xdr:colOff>
      <xdr:row>13</xdr:row>
      <xdr:rowOff>12491</xdr:rowOff>
    </xdr:from>
    <xdr:ext cx="6046033" cy="2097663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E4BC670-9317-7A21-7BBF-5949746501C0}"/>
            </a:ext>
          </a:extLst>
        </xdr:cNvPr>
        <xdr:cNvSpPr txBox="1"/>
      </xdr:nvSpPr>
      <xdr:spPr>
        <a:xfrm>
          <a:off x="3322434" y="2421583"/>
          <a:ext cx="6046033" cy="2097663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</a:rPr>
            <a:t>Conclusão da Análise</a:t>
          </a:r>
        </a:p>
        <a:p>
          <a:pPr algn="ctr"/>
          <a:endParaRPr lang="pt-BR" sz="1400" b="1">
            <a:solidFill>
              <a:schemeClr val="bg1"/>
            </a:solidFill>
          </a:endParaRPr>
        </a:p>
        <a:p>
          <a:pPr lvl="0" algn="ctr"/>
          <a:r>
            <a:rPr lang="pt-BR" sz="1100" kern="200" baseline="0">
              <a:solidFill>
                <a:schemeClr val="bg1"/>
              </a:solidFill>
            </a:rPr>
            <a:t>A categoria com maior faturamento foi Monitores, com R$ 6.300,00 em vendas.</a:t>
          </a:r>
        </a:p>
        <a:p>
          <a:pPr lvl="0" algn="ctr"/>
          <a:endParaRPr lang="pt-BR" sz="1100" kern="200" baseline="0">
            <a:solidFill>
              <a:schemeClr val="bg1"/>
            </a:solidFill>
          </a:endParaRPr>
        </a:p>
        <a:p>
          <a:pPr lvl="0" algn="ctr"/>
          <a:r>
            <a:rPr lang="pt-BR" sz="1100" kern="200" baseline="0">
              <a:solidFill>
                <a:schemeClr val="bg1"/>
              </a:solidFill>
            </a:rPr>
            <a:t>Os clientes com maior valor de compra foram Carlos e Marina, ambos com R$ 1.800,00.</a:t>
          </a:r>
        </a:p>
        <a:p>
          <a:pPr lvl="0" algn="ctr"/>
          <a:endParaRPr lang="pt-BR" sz="1100" kern="200" baseline="0">
            <a:solidFill>
              <a:schemeClr val="bg1"/>
            </a:solidFill>
          </a:endParaRPr>
        </a:p>
        <a:p>
          <a:pPr lvl="0" algn="ctr"/>
          <a:r>
            <a:rPr lang="pt-BR" sz="1100" kern="200" baseline="0">
              <a:solidFill>
                <a:schemeClr val="bg1"/>
              </a:solidFill>
            </a:rPr>
            <a:t>A maior parte dos pedidos foi concluída com status Pago, representando 12 dos 15 pedidos analisados.</a:t>
          </a:r>
        </a:p>
        <a:p>
          <a:pPr lvl="0" algn="ctr"/>
          <a:endParaRPr lang="pt-BR" sz="1100" kern="200" baseline="0">
            <a:solidFill>
              <a:schemeClr val="bg1"/>
            </a:solidFill>
          </a:endParaRPr>
        </a:p>
        <a:p>
          <a:pPr lvl="0" algn="ctr"/>
          <a:r>
            <a:rPr lang="pt-BR" sz="1100" kern="200" baseline="0">
              <a:solidFill>
                <a:schemeClr val="bg1"/>
              </a:solidFill>
            </a:rPr>
            <a:t>O dashboard permite acompanhar rapidamente o desempenho das vendas por categoria, cliente e status através de filtros interativos.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BARBOSA" refreshedDate="46166.494722337964" createdVersion="8" refreshedVersion="8" minRefreshableVersion="3" recordCount="15" xr:uid="{A1BC5AA0-9D16-4F44-8672-3E5B4F4EDD30}">
  <cacheSource type="worksheet">
    <worksheetSource name="Tabela13"/>
  </cacheSource>
  <cacheFields count="6">
    <cacheField name="Data" numFmtId="14">
      <sharedItems containsSemiMixedTypes="0" containsNonDate="0" containsDate="1" containsString="0" minDate="2026-05-01T00:00:00" maxDate="2026-05-16T00:00:00"/>
    </cacheField>
    <cacheField name="Cliente" numFmtId="0">
      <sharedItems count="15">
        <s v="Ana"/>
        <s v="Bruno"/>
        <s v="Carlos"/>
        <s v="Maria"/>
        <s v="João"/>
        <s v="Fernanda"/>
        <s v="Ricardo"/>
        <s v="Paula"/>
        <s v="Lucas"/>
        <s v="Marina"/>
        <s v="Felipe"/>
        <s v="Juliana"/>
        <s v="Gustavo"/>
        <s v="Camila"/>
        <s v="André"/>
      </sharedItems>
    </cacheField>
    <cacheField name="Categoria" numFmtId="0">
      <sharedItems count="4">
        <s v="Periféricos"/>
        <s v="Monitores"/>
        <s v="Áudio"/>
        <s v="Vídeo"/>
      </sharedItems>
    </cacheField>
    <cacheField name="Produto" numFmtId="0">
      <sharedItems/>
    </cacheField>
    <cacheField name="Valor" numFmtId="44">
      <sharedItems containsSemiMixedTypes="0" containsString="0" containsNumber="1" containsInteger="1" minValue="120" maxValue="1800" count="6">
        <n v="120"/>
        <n v="900"/>
        <n v="1800"/>
        <n v="320"/>
        <n v="180"/>
        <n v="250"/>
      </sharedItems>
    </cacheField>
    <cacheField name="Status" numFmtId="0">
      <sharedItems count="2">
        <s v="Pago"/>
        <s v="Pendende"/>
      </sharedItems>
    </cacheField>
  </cacheFields>
  <extLst>
    <ext xmlns:x14="http://schemas.microsoft.com/office/spreadsheetml/2009/9/main" uri="{725AE2AE-9491-48be-B2B4-4EB974FC3084}">
      <x14:pivotCacheDefinition pivotCacheId="8800266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5-01T00:00:00"/>
    <x v="0"/>
    <x v="0"/>
    <s v="Mouse Gamer"/>
    <x v="0"/>
    <x v="0"/>
  </r>
  <r>
    <d v="2026-05-02T00:00:00"/>
    <x v="1"/>
    <x v="1"/>
    <s v="Monitor 24"/>
    <x v="1"/>
    <x v="0"/>
  </r>
  <r>
    <d v="2026-05-03T00:00:00"/>
    <x v="2"/>
    <x v="1"/>
    <s v="Monitor 27"/>
    <x v="2"/>
    <x v="0"/>
  </r>
  <r>
    <d v="2026-05-04T00:00:00"/>
    <x v="3"/>
    <x v="2"/>
    <s v="Headset RGB"/>
    <x v="3"/>
    <x v="1"/>
  </r>
  <r>
    <d v="2026-05-05T00:00:00"/>
    <x v="4"/>
    <x v="3"/>
    <s v="Webcam HD"/>
    <x v="4"/>
    <x v="0"/>
  </r>
  <r>
    <d v="2026-05-06T00:00:00"/>
    <x v="5"/>
    <x v="0"/>
    <s v="Teclado Mecânico"/>
    <x v="5"/>
    <x v="0"/>
  </r>
  <r>
    <d v="2026-05-07T00:00:00"/>
    <x v="6"/>
    <x v="1"/>
    <s v="Monitor 24"/>
    <x v="1"/>
    <x v="0"/>
  </r>
  <r>
    <d v="2026-05-08T00:00:00"/>
    <x v="7"/>
    <x v="2"/>
    <s v="Headset RGB"/>
    <x v="3"/>
    <x v="1"/>
  </r>
  <r>
    <d v="2026-05-09T00:00:00"/>
    <x v="8"/>
    <x v="3"/>
    <s v="Webcam HD"/>
    <x v="4"/>
    <x v="0"/>
  </r>
  <r>
    <d v="2026-05-10T00:00:00"/>
    <x v="9"/>
    <x v="1"/>
    <s v="Monitor 27"/>
    <x v="2"/>
    <x v="0"/>
  </r>
  <r>
    <d v="2026-05-11T00:00:00"/>
    <x v="10"/>
    <x v="0"/>
    <s v="Mouse Gamer"/>
    <x v="0"/>
    <x v="0"/>
  </r>
  <r>
    <d v="2026-05-12T00:00:00"/>
    <x v="11"/>
    <x v="2"/>
    <s v="Headset RGB"/>
    <x v="3"/>
    <x v="1"/>
  </r>
  <r>
    <d v="2026-05-13T00:00:00"/>
    <x v="12"/>
    <x v="1"/>
    <s v="Monitor 24"/>
    <x v="1"/>
    <x v="0"/>
  </r>
  <r>
    <d v="2026-05-14T00:00:00"/>
    <x v="13"/>
    <x v="3"/>
    <s v="Webcam HD"/>
    <x v="4"/>
    <x v="0"/>
  </r>
  <r>
    <d v="2026-05-15T00:00:00"/>
    <x v="14"/>
    <x v="0"/>
    <s v="Teclado Mecânico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61EF0-864F-4512-9382-084F6C0363F4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1:H4" firstHeaderRow="1" firstDataRow="1" firstDataCol="1"/>
  <pivotFields count="6">
    <pivotField numFmtId="14" showAll="0"/>
    <pivotField showAll="0"/>
    <pivotField showAll="0"/>
    <pivotField showAll="0"/>
    <pivotField numFmtId="44" showAll="0"/>
    <pivotField axis="axisRow" dataField="1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Status" fld="5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47B33-90A9-4AA8-A4C5-CF2C6F9CF6BF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3:E9" firstHeaderRow="1" firstDataRow="1" firstDataCol="1" rowPageCount="1" colPageCount="1"/>
  <pivotFields count="6">
    <pivotField numFmtId="14" showAll="0"/>
    <pivotField axis="axisRow" showAll="0" measureFilter="1">
      <items count="16">
        <item x="0"/>
        <item x="14"/>
        <item x="1"/>
        <item x="13"/>
        <item x="2"/>
        <item x="10"/>
        <item x="5"/>
        <item x="12"/>
        <item x="4"/>
        <item x="11"/>
        <item x="8"/>
        <item x="3"/>
        <item x="9"/>
        <item x="7"/>
        <item x="6"/>
        <item t="default"/>
      </items>
    </pivotField>
    <pivotField showAll="0"/>
    <pivotField showAll="0"/>
    <pivotField axis="axisPage" dataField="1" numFmtId="44" showAll="0">
      <items count="7">
        <item x="0"/>
        <item x="4"/>
        <item x="5"/>
        <item x="3"/>
        <item x="1"/>
        <item x="2"/>
        <item t="default"/>
      </items>
    </pivotField>
    <pivotField showAll="0"/>
  </pivotFields>
  <rowFields count="1">
    <field x="1"/>
  </rowFields>
  <rowItems count="6">
    <i>
      <x v="2"/>
    </i>
    <i>
      <x v="4"/>
    </i>
    <i>
      <x v="7"/>
    </i>
    <i>
      <x v="12"/>
    </i>
    <i>
      <x v="14"/>
    </i>
    <i t="grand">
      <x/>
    </i>
  </rowItems>
  <colItems count="1">
    <i/>
  </colItems>
  <pageFields count="1">
    <pageField fld="4" hier="-1"/>
  </pageFields>
  <dataFields count="1">
    <dataField name="Soma de Valor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78CC1-A2DA-4135-9D92-90604BA799ED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6"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numFmtId="4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0B2C0DC2-6232-4C49-B87B-0EDCA7207A68}" sourceName="Categoria">
  <pivotTables>
    <pivotTable tabId="3" name="Tabela dinâmica2"/>
  </pivotTables>
  <data>
    <tabular pivotCacheId="880026623">
      <items count="4"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997A21D5-A4CF-4D00-A9A9-B73D174E2411}" sourceName="Cliente">
  <pivotTables>
    <pivotTable tabId="3" name="Tabela dinâmica3"/>
  </pivotTables>
  <data>
    <tabular pivotCacheId="880026623">
      <items count="15">
        <i x="0" s="1"/>
        <i x="14" s="1"/>
        <i x="1" s="1"/>
        <i x="13" s="1"/>
        <i x="2" s="1"/>
        <i x="10" s="1"/>
        <i x="5" s="1"/>
        <i x="12" s="1"/>
        <i x="4" s="1"/>
        <i x="11" s="1"/>
        <i x="8" s="1"/>
        <i x="3" s="1"/>
        <i x="9" s="1"/>
        <i x="7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46EFB665-54C2-436E-98DC-D56E03020D74}" cache="SegmentaçãodeDados_Categoria" caption="Categoria" rowHeight="247650"/>
  <slicer name="Cliente" xr10:uid="{60301909-F30E-4264-9AF7-DEB5C15A0391}" cache="SegmentaçãodeDados_Cliente" caption="Client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0E16C-1809-4A6B-9307-3DFB454D5520}" name="Tabela1" displayName="Tabela1" ref="A1:F29" totalsRowShown="0" headerRowDxfId="10" headerRowBorderDxfId="18" tableBorderDxfId="19" totalsRowBorderDxfId="17">
  <autoFilter ref="A1:F29" xr:uid="{6A10E16C-1809-4A6B-9307-3DFB454D5520}"/>
  <tableColumns count="6">
    <tableColumn id="1" xr3:uid="{52694342-3769-48CE-90EA-C57A38C5EAD0}" name="Data" dataDxfId="16"/>
    <tableColumn id="2" xr3:uid="{4DBEC913-EDDF-4F4D-9DA5-E1EAE64E282D}" name="Cliente" dataDxfId="15"/>
    <tableColumn id="3" xr3:uid="{47A8B33C-FC61-4C2A-BCB9-676F86DF8B60}" name="Categoria" dataDxfId="14"/>
    <tableColumn id="4" xr3:uid="{DDC23885-35AE-42E6-8443-077C0023CCCD}" name="Produto" dataDxfId="13"/>
    <tableColumn id="5" xr3:uid="{1178F78E-74DF-4A8C-8538-61BE47718754}" name="Valor" dataDxfId="12" dataCellStyle="Moeda"/>
    <tableColumn id="6" xr3:uid="{6D68F930-D096-4738-BDCF-064EFB2DF4B4}" name="Status" dataDxfId="1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7DBA3-368E-417E-A7A7-61F8887A7962}" name="Tabela13" displayName="Tabela13" ref="A1:F16" totalsRowShown="0" headerRowDxfId="9" headerRowBorderDxfId="7" tableBorderDxfId="8" totalsRowBorderDxfId="6">
  <autoFilter ref="A1:F16" xr:uid="{BC37DBA3-368E-417E-A7A7-61F8887A7962}"/>
  <tableColumns count="6">
    <tableColumn id="1" xr3:uid="{A02FB91E-B548-4D42-82DF-0EE080A1306E}" name="Data" dataDxfId="5"/>
    <tableColumn id="2" xr3:uid="{D1FFBC10-21C4-44BC-B7D7-C976ECC6D8F3}" name="Cliente" dataDxfId="4"/>
    <tableColumn id="3" xr3:uid="{7E4744AF-1515-4A5A-877F-36D47353C688}" name="Categoria" dataDxfId="3"/>
    <tableColumn id="4" xr3:uid="{CF601D63-9B2F-4C54-BF60-0255DBE282AD}" name="Produto" dataDxfId="2"/>
    <tableColumn id="5" xr3:uid="{0F9BC8E5-2803-46A8-8A0D-9E0B2ED76768}" name="Valor" dataDxfId="1" dataCellStyle="Moeda"/>
    <tableColumn id="6" xr3:uid="{79719E40-0C0B-4B2B-9963-E5A90661B4CA}" name="Statu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9408-521E-4983-8F80-ED31609C5CAB}">
  <dimension ref="A1:F29"/>
  <sheetViews>
    <sheetView zoomScale="90" zoomScaleNormal="90" workbookViewId="0">
      <selection sqref="A1:XFD1048576"/>
    </sheetView>
  </sheetViews>
  <sheetFormatPr defaultRowHeight="14.4" x14ac:dyDescent="0.3"/>
  <cols>
    <col min="1" max="1" width="11.21875" bestFit="1" customWidth="1"/>
    <col min="2" max="2" width="10" bestFit="1" customWidth="1"/>
    <col min="3" max="3" width="12" bestFit="1" customWidth="1"/>
    <col min="4" max="4" width="16.33203125" bestFit="1" customWidth="1"/>
    <col min="5" max="5" width="12.5546875" style="1" bestFit="1" customWidth="1"/>
    <col min="6" max="6" width="9.109375" bestFit="1" customWidth="1"/>
  </cols>
  <sheetData>
    <row r="1" spans="1:6" x14ac:dyDescent="0.3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</row>
    <row r="2" spans="1:6" x14ac:dyDescent="0.3">
      <c r="A2" s="4">
        <v>46143</v>
      </c>
      <c r="B2" s="2" t="s">
        <v>6</v>
      </c>
      <c r="C2" s="2" t="s">
        <v>7</v>
      </c>
      <c r="D2" s="2" t="s">
        <v>8</v>
      </c>
      <c r="E2" s="3">
        <v>120</v>
      </c>
      <c r="F2" s="5" t="s">
        <v>9</v>
      </c>
    </row>
    <row r="3" spans="1:6" x14ac:dyDescent="0.3">
      <c r="A3" s="4">
        <v>46143</v>
      </c>
      <c r="B3" s="2" t="s">
        <v>10</v>
      </c>
      <c r="C3" s="2" t="s">
        <v>11</v>
      </c>
      <c r="D3" s="2" t="s">
        <v>8</v>
      </c>
      <c r="E3" s="3">
        <v>120</v>
      </c>
      <c r="F3" s="5" t="s">
        <v>12</v>
      </c>
    </row>
    <row r="4" spans="1:6" x14ac:dyDescent="0.3">
      <c r="A4" s="4">
        <v>46144</v>
      </c>
      <c r="B4" s="2" t="s">
        <v>13</v>
      </c>
      <c r="C4" s="2" t="s">
        <v>14</v>
      </c>
      <c r="D4" s="2" t="s">
        <v>15</v>
      </c>
      <c r="E4" s="3"/>
      <c r="F4" s="5" t="s">
        <v>9</v>
      </c>
    </row>
    <row r="5" spans="1:6" x14ac:dyDescent="0.3">
      <c r="A5" s="4">
        <v>46145</v>
      </c>
      <c r="B5" s="2" t="s">
        <v>16</v>
      </c>
      <c r="C5" s="2" t="s">
        <v>17</v>
      </c>
      <c r="D5" s="2" t="s">
        <v>18</v>
      </c>
      <c r="E5" s="3">
        <v>1800</v>
      </c>
      <c r="F5" s="5" t="s">
        <v>19</v>
      </c>
    </row>
    <row r="6" spans="1:6" x14ac:dyDescent="0.3">
      <c r="A6" s="4">
        <v>46145</v>
      </c>
      <c r="B6" s="2" t="s">
        <v>16</v>
      </c>
      <c r="C6" s="2" t="s">
        <v>14</v>
      </c>
      <c r="D6" s="2" t="s">
        <v>18</v>
      </c>
      <c r="E6" s="3">
        <v>1800</v>
      </c>
      <c r="F6" s="5" t="s">
        <v>19</v>
      </c>
    </row>
    <row r="7" spans="1:6" x14ac:dyDescent="0.3">
      <c r="A7" s="4">
        <v>46146</v>
      </c>
      <c r="B7" s="2" t="s">
        <v>20</v>
      </c>
      <c r="C7" s="2" t="s">
        <v>21</v>
      </c>
      <c r="D7" s="2" t="s">
        <v>22</v>
      </c>
      <c r="E7" s="3">
        <v>320</v>
      </c>
      <c r="F7" s="5" t="s">
        <v>23</v>
      </c>
    </row>
    <row r="8" spans="1:6" x14ac:dyDescent="0.3">
      <c r="A8" s="4">
        <v>46147</v>
      </c>
      <c r="B8" s="2" t="s">
        <v>24</v>
      </c>
      <c r="C8" s="2" t="s">
        <v>25</v>
      </c>
      <c r="D8" s="2" t="s">
        <v>26</v>
      </c>
      <c r="E8" s="3" t="s">
        <v>27</v>
      </c>
      <c r="F8" s="5" t="s">
        <v>9</v>
      </c>
    </row>
    <row r="9" spans="1:6" x14ac:dyDescent="0.3">
      <c r="A9" s="4">
        <v>46147</v>
      </c>
      <c r="B9" s="2" t="s">
        <v>28</v>
      </c>
      <c r="C9" s="2" t="s">
        <v>29</v>
      </c>
      <c r="D9" s="2" t="s">
        <v>26</v>
      </c>
      <c r="E9" s="3">
        <v>180</v>
      </c>
      <c r="F9" s="5" t="s">
        <v>12</v>
      </c>
    </row>
    <row r="10" spans="1:6" x14ac:dyDescent="0.3">
      <c r="A10" s="4">
        <v>46148</v>
      </c>
      <c r="B10" s="2" t="s">
        <v>30</v>
      </c>
      <c r="C10" s="2" t="s">
        <v>31</v>
      </c>
      <c r="D10" s="2" t="s">
        <v>32</v>
      </c>
      <c r="E10" s="3">
        <v>250</v>
      </c>
      <c r="F10" s="5" t="s">
        <v>9</v>
      </c>
    </row>
    <row r="11" spans="1:6" x14ac:dyDescent="0.3">
      <c r="A11" s="4">
        <v>46148</v>
      </c>
      <c r="B11" s="2" t="s">
        <v>33</v>
      </c>
      <c r="C11" s="2" t="s">
        <v>11</v>
      </c>
      <c r="D11" s="2" t="s">
        <v>32</v>
      </c>
      <c r="E11" s="3">
        <v>250</v>
      </c>
      <c r="F11" s="5" t="s">
        <v>19</v>
      </c>
    </row>
    <row r="12" spans="1:6" x14ac:dyDescent="0.3">
      <c r="A12" s="4">
        <v>46149</v>
      </c>
      <c r="B12" s="2" t="s">
        <v>34</v>
      </c>
      <c r="C12" s="2" t="s">
        <v>14</v>
      </c>
      <c r="D12" s="2" t="s">
        <v>15</v>
      </c>
      <c r="E12" s="3">
        <v>900</v>
      </c>
      <c r="F12" s="5" t="s">
        <v>9</v>
      </c>
    </row>
    <row r="13" spans="1:6" x14ac:dyDescent="0.3">
      <c r="A13" s="4">
        <v>46149</v>
      </c>
      <c r="B13" s="2" t="s">
        <v>34</v>
      </c>
      <c r="C13" s="2" t="s">
        <v>14</v>
      </c>
      <c r="D13" s="2" t="s">
        <v>15</v>
      </c>
      <c r="E13" s="3">
        <v>900</v>
      </c>
      <c r="F13" s="5" t="s">
        <v>9</v>
      </c>
    </row>
    <row r="14" spans="1:6" x14ac:dyDescent="0.3">
      <c r="A14" s="4">
        <v>46150</v>
      </c>
      <c r="B14" s="2" t="s">
        <v>35</v>
      </c>
      <c r="C14" s="2" t="s">
        <v>36</v>
      </c>
      <c r="D14" s="2" t="s">
        <v>22</v>
      </c>
      <c r="E14" s="3"/>
      <c r="F14" s="5" t="s">
        <v>23</v>
      </c>
    </row>
    <row r="15" spans="1:6" x14ac:dyDescent="0.3">
      <c r="A15" s="4">
        <v>46150</v>
      </c>
      <c r="B15" s="2" t="s">
        <v>37</v>
      </c>
      <c r="C15" s="2" t="s">
        <v>38</v>
      </c>
      <c r="D15" s="2" t="s">
        <v>22</v>
      </c>
      <c r="E15" s="3">
        <v>320</v>
      </c>
      <c r="F15" s="5" t="s">
        <v>39</v>
      </c>
    </row>
    <row r="16" spans="1:6" x14ac:dyDescent="0.3">
      <c r="A16" s="4">
        <v>46151</v>
      </c>
      <c r="B16" s="2" t="s">
        <v>40</v>
      </c>
      <c r="C16" s="2" t="s">
        <v>25</v>
      </c>
      <c r="D16" s="2" t="s">
        <v>26</v>
      </c>
      <c r="E16" s="3">
        <v>180</v>
      </c>
      <c r="F16" s="5" t="s">
        <v>9</v>
      </c>
    </row>
    <row r="17" spans="1:6" x14ac:dyDescent="0.3">
      <c r="A17" s="4">
        <v>46151</v>
      </c>
      <c r="B17" s="2" t="s">
        <v>40</v>
      </c>
      <c r="C17" s="2" t="s">
        <v>41</v>
      </c>
      <c r="D17" s="2" t="s">
        <v>26</v>
      </c>
      <c r="E17" s="3">
        <v>180</v>
      </c>
      <c r="F17" s="5" t="s">
        <v>19</v>
      </c>
    </row>
    <row r="18" spans="1:6" x14ac:dyDescent="0.3">
      <c r="A18" s="4">
        <v>46152</v>
      </c>
      <c r="B18" s="2" t="s">
        <v>42</v>
      </c>
      <c r="C18" s="2" t="s">
        <v>14</v>
      </c>
      <c r="D18" s="2" t="s">
        <v>18</v>
      </c>
      <c r="E18" s="3">
        <v>1800</v>
      </c>
      <c r="F18" s="5" t="s">
        <v>9</v>
      </c>
    </row>
    <row r="19" spans="1:6" x14ac:dyDescent="0.3">
      <c r="A19" s="4">
        <v>46152</v>
      </c>
      <c r="B19" s="2" t="s">
        <v>43</v>
      </c>
      <c r="C19" s="2" t="s">
        <v>17</v>
      </c>
      <c r="D19" s="2" t="s">
        <v>18</v>
      </c>
      <c r="E19" s="3">
        <v>1800</v>
      </c>
      <c r="F19" s="5" t="s">
        <v>12</v>
      </c>
    </row>
    <row r="20" spans="1:6" x14ac:dyDescent="0.3">
      <c r="A20" s="4">
        <v>46153</v>
      </c>
      <c r="B20" s="2" t="s">
        <v>44</v>
      </c>
      <c r="C20" s="2" t="s">
        <v>11</v>
      </c>
      <c r="D20" s="2" t="s">
        <v>8</v>
      </c>
      <c r="E20" s="3">
        <v>120</v>
      </c>
      <c r="F20" s="5" t="s">
        <v>9</v>
      </c>
    </row>
    <row r="21" spans="1:6" x14ac:dyDescent="0.3">
      <c r="A21" s="4">
        <v>46153</v>
      </c>
      <c r="B21" s="2" t="s">
        <v>44</v>
      </c>
      <c r="C21" s="2" t="s">
        <v>7</v>
      </c>
      <c r="D21" s="2" t="s">
        <v>8</v>
      </c>
      <c r="E21" s="3">
        <v>120</v>
      </c>
      <c r="F21" s="5" t="s">
        <v>9</v>
      </c>
    </row>
    <row r="22" spans="1:6" x14ac:dyDescent="0.3">
      <c r="A22" s="4">
        <v>46154</v>
      </c>
      <c r="B22" s="2" t="s">
        <v>45</v>
      </c>
      <c r="C22" s="2" t="s">
        <v>36</v>
      </c>
      <c r="D22" s="2" t="s">
        <v>22</v>
      </c>
      <c r="E22" s="3">
        <v>320</v>
      </c>
      <c r="F22" s="5" t="s">
        <v>23</v>
      </c>
    </row>
    <row r="23" spans="1:6" x14ac:dyDescent="0.3">
      <c r="A23" s="4">
        <v>46154</v>
      </c>
      <c r="B23" s="2" t="s">
        <v>45</v>
      </c>
      <c r="C23" s="2" t="s">
        <v>21</v>
      </c>
      <c r="D23" s="2" t="s">
        <v>22</v>
      </c>
      <c r="E23" s="3">
        <v>320</v>
      </c>
      <c r="F23" s="5" t="s">
        <v>39</v>
      </c>
    </row>
    <row r="24" spans="1:6" x14ac:dyDescent="0.3">
      <c r="A24" s="4">
        <v>46155</v>
      </c>
      <c r="B24" s="2" t="s">
        <v>46</v>
      </c>
      <c r="C24" s="2" t="s">
        <v>14</v>
      </c>
      <c r="D24" s="2" t="s">
        <v>15</v>
      </c>
      <c r="E24" s="3">
        <v>900</v>
      </c>
      <c r="F24" s="5" t="s">
        <v>9</v>
      </c>
    </row>
    <row r="25" spans="1:6" x14ac:dyDescent="0.3">
      <c r="A25" s="4">
        <v>46155</v>
      </c>
      <c r="B25" s="2" t="s">
        <v>46</v>
      </c>
      <c r="C25" s="2" t="s">
        <v>47</v>
      </c>
      <c r="D25" s="2" t="s">
        <v>15</v>
      </c>
      <c r="E25" s="3">
        <v>900</v>
      </c>
      <c r="F25" s="5" t="s">
        <v>12</v>
      </c>
    </row>
    <row r="26" spans="1:6" x14ac:dyDescent="0.3">
      <c r="A26" s="4">
        <v>46156</v>
      </c>
      <c r="B26" s="2" t="s">
        <v>48</v>
      </c>
      <c r="C26" s="2" t="s">
        <v>25</v>
      </c>
      <c r="D26" s="2" t="s">
        <v>26</v>
      </c>
      <c r="E26" s="3">
        <v>180</v>
      </c>
      <c r="F26" s="5" t="s">
        <v>9</v>
      </c>
    </row>
    <row r="27" spans="1:6" x14ac:dyDescent="0.3">
      <c r="A27" s="4">
        <v>46156</v>
      </c>
      <c r="B27" s="2" t="s">
        <v>48</v>
      </c>
      <c r="C27" s="2" t="s">
        <v>29</v>
      </c>
      <c r="D27" s="2" t="s">
        <v>26</v>
      </c>
      <c r="E27" s="3" t="s">
        <v>49</v>
      </c>
      <c r="F27" s="5" t="s">
        <v>9</v>
      </c>
    </row>
    <row r="28" spans="1:6" x14ac:dyDescent="0.3">
      <c r="A28" s="4">
        <v>46157</v>
      </c>
      <c r="B28" s="2" t="s">
        <v>50</v>
      </c>
      <c r="C28" s="2" t="s">
        <v>11</v>
      </c>
      <c r="D28" s="2" t="s">
        <v>32</v>
      </c>
      <c r="E28" s="3">
        <v>250</v>
      </c>
      <c r="F28" s="5" t="s">
        <v>9</v>
      </c>
    </row>
    <row r="29" spans="1:6" x14ac:dyDescent="0.3">
      <c r="A29" s="10">
        <v>46157</v>
      </c>
      <c r="B29" s="11" t="s">
        <v>51</v>
      </c>
      <c r="C29" s="11" t="s">
        <v>7</v>
      </c>
      <c r="D29" s="11" t="s">
        <v>32</v>
      </c>
      <c r="E29" s="12">
        <v>250</v>
      </c>
      <c r="F29" s="13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73F1-BB9D-46A7-8D50-D01060AB602B}">
  <dimension ref="A1:K29"/>
  <sheetViews>
    <sheetView zoomScale="82" workbookViewId="0">
      <selection activeCell="K13" sqref="K13"/>
    </sheetView>
  </sheetViews>
  <sheetFormatPr defaultRowHeight="14.4" x14ac:dyDescent="0.3"/>
  <cols>
    <col min="1" max="1" width="11.21875" bestFit="1" customWidth="1"/>
    <col min="2" max="2" width="10" bestFit="1" customWidth="1"/>
    <col min="3" max="3" width="12" bestFit="1" customWidth="1"/>
    <col min="4" max="4" width="16.33203125" bestFit="1" customWidth="1"/>
    <col min="5" max="5" width="12.5546875" style="1" bestFit="1" customWidth="1"/>
    <col min="6" max="6" width="9.109375" bestFit="1" customWidth="1"/>
  </cols>
  <sheetData>
    <row r="1" spans="1:11" x14ac:dyDescent="0.3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</row>
    <row r="2" spans="1:11" x14ac:dyDescent="0.3">
      <c r="A2" s="4">
        <v>46143</v>
      </c>
      <c r="B2" s="2" t="s">
        <v>6</v>
      </c>
      <c r="C2" s="2" t="s">
        <v>11</v>
      </c>
      <c r="D2" s="2" t="s">
        <v>8</v>
      </c>
      <c r="E2" s="3">
        <v>120</v>
      </c>
      <c r="F2" s="5" t="s">
        <v>9</v>
      </c>
    </row>
    <row r="3" spans="1:11" x14ac:dyDescent="0.3">
      <c r="A3" s="4">
        <v>46144</v>
      </c>
      <c r="B3" s="2" t="s">
        <v>13</v>
      </c>
      <c r="C3" s="2" t="s">
        <v>14</v>
      </c>
      <c r="D3" s="2" t="s">
        <v>15</v>
      </c>
      <c r="E3" s="3">
        <v>900</v>
      </c>
      <c r="F3" s="5" t="s">
        <v>9</v>
      </c>
      <c r="H3" s="14" t="s">
        <v>1</v>
      </c>
      <c r="I3" s="14" t="s">
        <v>2</v>
      </c>
      <c r="J3" s="14" t="s">
        <v>3</v>
      </c>
      <c r="K3" s="14" t="s">
        <v>5</v>
      </c>
    </row>
    <row r="4" spans="1:11" x14ac:dyDescent="0.3">
      <c r="A4" s="4">
        <v>46145</v>
      </c>
      <c r="B4" s="2" t="s">
        <v>16</v>
      </c>
      <c r="C4" s="2" t="s">
        <v>14</v>
      </c>
      <c r="D4" s="2" t="s">
        <v>18</v>
      </c>
      <c r="E4" s="3">
        <v>1800</v>
      </c>
      <c r="F4" s="5" t="s">
        <v>9</v>
      </c>
      <c r="H4" t="s">
        <v>6</v>
      </c>
      <c r="I4" t="s">
        <v>11</v>
      </c>
      <c r="J4" t="s">
        <v>8</v>
      </c>
      <c r="K4" t="s">
        <v>9</v>
      </c>
    </row>
    <row r="5" spans="1:11" x14ac:dyDescent="0.3">
      <c r="A5" s="4">
        <v>46146</v>
      </c>
      <c r="B5" s="2" t="s">
        <v>20</v>
      </c>
      <c r="C5" s="2" t="s">
        <v>36</v>
      </c>
      <c r="D5" s="2" t="s">
        <v>22</v>
      </c>
      <c r="E5" s="3">
        <v>320</v>
      </c>
      <c r="F5" s="5" t="s">
        <v>52</v>
      </c>
      <c r="H5" t="s">
        <v>13</v>
      </c>
      <c r="I5" t="s">
        <v>14</v>
      </c>
      <c r="J5" t="s">
        <v>15</v>
      </c>
      <c r="K5" t="s">
        <v>52</v>
      </c>
    </row>
    <row r="6" spans="1:11" x14ac:dyDescent="0.3">
      <c r="A6" s="4">
        <v>46147</v>
      </c>
      <c r="B6" s="2" t="s">
        <v>24</v>
      </c>
      <c r="C6" s="2" t="s">
        <v>25</v>
      </c>
      <c r="D6" s="2" t="s">
        <v>26</v>
      </c>
      <c r="E6" s="3">
        <v>180</v>
      </c>
      <c r="F6" s="5" t="s">
        <v>9</v>
      </c>
      <c r="H6" t="s">
        <v>16</v>
      </c>
      <c r="I6" t="s">
        <v>36</v>
      </c>
      <c r="J6" t="s">
        <v>18</v>
      </c>
    </row>
    <row r="7" spans="1:11" x14ac:dyDescent="0.3">
      <c r="A7" s="4">
        <v>46148</v>
      </c>
      <c r="B7" s="2" t="s">
        <v>30</v>
      </c>
      <c r="C7" s="2" t="s">
        <v>11</v>
      </c>
      <c r="D7" s="2" t="s">
        <v>32</v>
      </c>
      <c r="E7" s="3">
        <v>250</v>
      </c>
      <c r="F7" s="5" t="s">
        <v>9</v>
      </c>
      <c r="H7" t="s">
        <v>20</v>
      </c>
      <c r="I7" t="s">
        <v>25</v>
      </c>
      <c r="J7" t="s">
        <v>22</v>
      </c>
    </row>
    <row r="8" spans="1:11" x14ac:dyDescent="0.3">
      <c r="A8" s="4">
        <v>46149</v>
      </c>
      <c r="B8" s="2" t="s">
        <v>34</v>
      </c>
      <c r="C8" s="2" t="s">
        <v>14</v>
      </c>
      <c r="D8" s="2" t="s">
        <v>15</v>
      </c>
      <c r="E8" s="3">
        <v>900</v>
      </c>
      <c r="F8" s="5" t="s">
        <v>9</v>
      </c>
      <c r="H8" t="s">
        <v>24</v>
      </c>
      <c r="J8" t="s">
        <v>53</v>
      </c>
    </row>
    <row r="9" spans="1:11" x14ac:dyDescent="0.3">
      <c r="A9" s="4">
        <v>46150</v>
      </c>
      <c r="B9" s="2" t="s">
        <v>35</v>
      </c>
      <c r="C9" s="2" t="s">
        <v>36</v>
      </c>
      <c r="D9" s="2" t="s">
        <v>22</v>
      </c>
      <c r="E9" s="3">
        <v>320</v>
      </c>
      <c r="F9" s="5" t="s">
        <v>52</v>
      </c>
      <c r="H9" t="s">
        <v>30</v>
      </c>
      <c r="J9" t="s">
        <v>32</v>
      </c>
    </row>
    <row r="10" spans="1:11" x14ac:dyDescent="0.3">
      <c r="A10" s="4">
        <v>46151</v>
      </c>
      <c r="B10" s="2" t="s">
        <v>40</v>
      </c>
      <c r="C10" s="2" t="s">
        <v>25</v>
      </c>
      <c r="D10" s="2" t="s">
        <v>26</v>
      </c>
      <c r="E10" s="3">
        <v>180</v>
      </c>
      <c r="F10" s="5" t="s">
        <v>9</v>
      </c>
      <c r="H10" t="s">
        <v>34</v>
      </c>
    </row>
    <row r="11" spans="1:11" x14ac:dyDescent="0.3">
      <c r="A11" s="4">
        <v>46152</v>
      </c>
      <c r="B11" s="2" t="s">
        <v>42</v>
      </c>
      <c r="C11" s="2" t="s">
        <v>14</v>
      </c>
      <c r="D11" s="2" t="s">
        <v>18</v>
      </c>
      <c r="E11" s="3">
        <v>1800</v>
      </c>
      <c r="F11" s="5" t="s">
        <v>9</v>
      </c>
      <c r="H11" t="s">
        <v>35</v>
      </c>
    </row>
    <row r="12" spans="1:11" x14ac:dyDescent="0.3">
      <c r="A12" s="4">
        <v>46153</v>
      </c>
      <c r="B12" s="2" t="s">
        <v>44</v>
      </c>
      <c r="C12" s="2" t="s">
        <v>11</v>
      </c>
      <c r="D12" s="2" t="s">
        <v>8</v>
      </c>
      <c r="E12" s="3">
        <v>120</v>
      </c>
      <c r="F12" s="5" t="s">
        <v>9</v>
      </c>
      <c r="H12" t="s">
        <v>40</v>
      </c>
    </row>
    <row r="13" spans="1:11" x14ac:dyDescent="0.3">
      <c r="A13" s="4">
        <v>46154</v>
      </c>
      <c r="B13" s="2" t="s">
        <v>45</v>
      </c>
      <c r="C13" s="2" t="s">
        <v>36</v>
      </c>
      <c r="D13" s="2" t="s">
        <v>22</v>
      </c>
      <c r="E13" s="3">
        <v>320</v>
      </c>
      <c r="F13" s="5" t="s">
        <v>52</v>
      </c>
      <c r="H13" t="s">
        <v>42</v>
      </c>
    </row>
    <row r="14" spans="1:11" x14ac:dyDescent="0.3">
      <c r="A14" s="4">
        <v>46155</v>
      </c>
      <c r="B14" s="2" t="s">
        <v>46</v>
      </c>
      <c r="C14" s="2" t="s">
        <v>14</v>
      </c>
      <c r="D14" s="2" t="s">
        <v>15</v>
      </c>
      <c r="E14" s="3">
        <v>900</v>
      </c>
      <c r="F14" s="5" t="s">
        <v>9</v>
      </c>
      <c r="H14" t="s">
        <v>44</v>
      </c>
    </row>
    <row r="15" spans="1:11" x14ac:dyDescent="0.3">
      <c r="A15" s="4">
        <v>46156</v>
      </c>
      <c r="B15" s="2" t="s">
        <v>48</v>
      </c>
      <c r="C15" s="2" t="s">
        <v>25</v>
      </c>
      <c r="D15" s="2" t="s">
        <v>26</v>
      </c>
      <c r="E15" s="3">
        <v>180</v>
      </c>
      <c r="F15" s="5" t="s">
        <v>9</v>
      </c>
      <c r="H15" t="s">
        <v>45</v>
      </c>
    </row>
    <row r="16" spans="1:11" x14ac:dyDescent="0.3">
      <c r="A16" s="4">
        <v>46157</v>
      </c>
      <c r="B16" s="2" t="s">
        <v>50</v>
      </c>
      <c r="C16" s="2" t="s">
        <v>11</v>
      </c>
      <c r="D16" s="2" t="s">
        <v>32</v>
      </c>
      <c r="E16" s="3">
        <v>250</v>
      </c>
      <c r="F16" s="5" t="s">
        <v>9</v>
      </c>
      <c r="H16" t="s">
        <v>46</v>
      </c>
    </row>
    <row r="17" spans="5:8" x14ac:dyDescent="0.3">
      <c r="E17"/>
      <c r="H17" t="s">
        <v>48</v>
      </c>
    </row>
    <row r="18" spans="5:8" x14ac:dyDescent="0.3">
      <c r="E18"/>
      <c r="H18" t="s">
        <v>50</v>
      </c>
    </row>
    <row r="19" spans="5:8" x14ac:dyDescent="0.3">
      <c r="E19"/>
    </row>
    <row r="20" spans="5:8" x14ac:dyDescent="0.3">
      <c r="E20"/>
    </row>
    <row r="21" spans="5:8" x14ac:dyDescent="0.3">
      <c r="E21"/>
    </row>
    <row r="22" spans="5:8" x14ac:dyDescent="0.3">
      <c r="E22"/>
    </row>
    <row r="23" spans="5:8" x14ac:dyDescent="0.3">
      <c r="E23"/>
    </row>
    <row r="24" spans="5:8" x14ac:dyDescent="0.3">
      <c r="E24"/>
    </row>
    <row r="25" spans="5:8" x14ac:dyDescent="0.3">
      <c r="E25"/>
    </row>
    <row r="26" spans="5:8" x14ac:dyDescent="0.3">
      <c r="E26"/>
    </row>
    <row r="27" spans="5:8" x14ac:dyDescent="0.3">
      <c r="E27"/>
    </row>
    <row r="28" spans="5:8" x14ac:dyDescent="0.3">
      <c r="E28"/>
    </row>
    <row r="29" spans="5:8" x14ac:dyDescent="0.3">
      <c r="E29"/>
    </row>
  </sheetData>
  <dataValidations count="4">
    <dataValidation type="list" allowBlank="1" showInputMessage="1" showErrorMessage="1" sqref="B1:B16 B30:B1048576" xr:uid="{D42CD245-5692-4624-9492-2AE159F0C732}">
      <formula1>$H$4:$H$18</formula1>
    </dataValidation>
    <dataValidation type="list" allowBlank="1" showInputMessage="1" showErrorMessage="1" sqref="C1:C16 C30:C1048576" xr:uid="{0418A11F-5D62-49F6-862C-670D3E95BD31}">
      <formula1>$I$4:$I$7</formula1>
    </dataValidation>
    <dataValidation type="list" allowBlank="1" showInputMessage="1" showErrorMessage="1" sqref="D1:D16 D30:D1048576" xr:uid="{80B0DD17-2DDF-41E9-B111-7052AA6D28E6}">
      <formula1>$J$4:$J$9</formula1>
    </dataValidation>
    <dataValidation type="list" allowBlank="1" showInputMessage="1" showErrorMessage="1" sqref="F2:F16" xr:uid="{30C3A3EC-B88A-47F8-A5A9-8AF5698BCA3E}">
      <formula1>$K$4:$K$5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EF3A-AE2F-453F-B7C3-C1D63F5AC11D}">
  <dimension ref="A1:H19"/>
  <sheetViews>
    <sheetView showGridLines="0" showRowColHeaders="0" topLeftCell="A8" zoomScale="75" workbookViewId="0">
      <selection activeCell="H37" sqref="H37"/>
    </sheetView>
  </sheetViews>
  <sheetFormatPr defaultRowHeight="14.4" x14ac:dyDescent="0.3"/>
  <cols>
    <col min="1" max="1" width="18" bestFit="1" customWidth="1"/>
    <col min="2" max="2" width="13.5546875" style="1" bestFit="1" customWidth="1"/>
    <col min="4" max="4" width="18" bestFit="1" customWidth="1"/>
    <col min="5" max="5" width="13.5546875" style="1" bestFit="1" customWidth="1"/>
    <col min="7" max="7" width="16.77734375" bestFit="1" customWidth="1"/>
    <col min="8" max="8" width="17.77734375" bestFit="1" customWidth="1"/>
  </cols>
  <sheetData>
    <row r="1" spans="1:8" x14ac:dyDescent="0.3">
      <c r="A1" s="15" t="s">
        <v>54</v>
      </c>
      <c r="B1" t="s">
        <v>56</v>
      </c>
      <c r="D1" s="15" t="s">
        <v>4</v>
      </c>
      <c r="E1" t="s">
        <v>58</v>
      </c>
      <c r="G1" s="15" t="s">
        <v>54</v>
      </c>
      <c r="H1" t="s">
        <v>57</v>
      </c>
    </row>
    <row r="2" spans="1:8" x14ac:dyDescent="0.3">
      <c r="A2" s="16" t="s">
        <v>36</v>
      </c>
      <c r="B2" s="17">
        <v>960</v>
      </c>
      <c r="E2"/>
      <c r="G2" s="16" t="s">
        <v>9</v>
      </c>
      <c r="H2" s="17">
        <v>12</v>
      </c>
    </row>
    <row r="3" spans="1:8" x14ac:dyDescent="0.3">
      <c r="A3" s="16" t="s">
        <v>14</v>
      </c>
      <c r="B3" s="17">
        <v>6300</v>
      </c>
      <c r="D3" s="15" t="s">
        <v>54</v>
      </c>
      <c r="E3" t="s">
        <v>56</v>
      </c>
      <c r="G3" s="16" t="s">
        <v>52</v>
      </c>
      <c r="H3" s="17">
        <v>3</v>
      </c>
    </row>
    <row r="4" spans="1:8" x14ac:dyDescent="0.3">
      <c r="A4" s="16" t="s">
        <v>11</v>
      </c>
      <c r="B4" s="17">
        <v>740</v>
      </c>
      <c r="D4" s="16" t="s">
        <v>13</v>
      </c>
      <c r="E4" s="17">
        <v>900</v>
      </c>
      <c r="G4" s="16" t="s">
        <v>55</v>
      </c>
      <c r="H4" s="17">
        <v>15</v>
      </c>
    </row>
    <row r="5" spans="1:8" x14ac:dyDescent="0.3">
      <c r="A5" s="16" t="s">
        <v>25</v>
      </c>
      <c r="B5" s="17">
        <v>540</v>
      </c>
      <c r="D5" s="16" t="s">
        <v>16</v>
      </c>
      <c r="E5" s="17">
        <v>1800</v>
      </c>
    </row>
    <row r="6" spans="1:8" x14ac:dyDescent="0.3">
      <c r="A6" s="16" t="s">
        <v>55</v>
      </c>
      <c r="B6" s="17">
        <v>8540</v>
      </c>
      <c r="D6" s="16" t="s">
        <v>46</v>
      </c>
      <c r="E6" s="17">
        <v>900</v>
      </c>
    </row>
    <row r="7" spans="1:8" x14ac:dyDescent="0.3">
      <c r="D7" s="16" t="s">
        <v>42</v>
      </c>
      <c r="E7" s="17">
        <v>1800</v>
      </c>
    </row>
    <row r="8" spans="1:8" x14ac:dyDescent="0.3">
      <c r="D8" s="16" t="s">
        <v>34</v>
      </c>
      <c r="E8" s="17">
        <v>900</v>
      </c>
    </row>
    <row r="9" spans="1:8" x14ac:dyDescent="0.3">
      <c r="D9" s="16" t="s">
        <v>55</v>
      </c>
      <c r="E9" s="17">
        <v>6300</v>
      </c>
    </row>
    <row r="10" spans="1:8" x14ac:dyDescent="0.3">
      <c r="E10"/>
    </row>
    <row r="11" spans="1:8" x14ac:dyDescent="0.3">
      <c r="E11"/>
    </row>
    <row r="12" spans="1:8" x14ac:dyDescent="0.3">
      <c r="E12"/>
    </row>
    <row r="13" spans="1:8" x14ac:dyDescent="0.3">
      <c r="E13"/>
    </row>
    <row r="14" spans="1:8" x14ac:dyDescent="0.3">
      <c r="E14"/>
    </row>
    <row r="15" spans="1:8" x14ac:dyDescent="0.3">
      <c r="E15"/>
    </row>
    <row r="16" spans="1:8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C521-A6BE-4E2D-83D9-F7069836A150}">
  <dimension ref="A1:J23"/>
  <sheetViews>
    <sheetView tabSelected="1" zoomScale="65" workbookViewId="0">
      <selection activeCell="S14" sqref="S14"/>
    </sheetView>
  </sheetViews>
  <sheetFormatPr defaultRowHeight="14.4" x14ac:dyDescent="0.3"/>
  <cols>
    <col min="1" max="10" width="9.77734375" style="18" customWidth="1"/>
    <col min="11" max="12" width="8.88671875" style="18"/>
    <col min="13" max="13" width="9.44140625" style="18" customWidth="1"/>
    <col min="14" max="16384" width="8.88671875" style="18"/>
  </cols>
  <sheetData>
    <row r="1" spans="1:10" ht="18" x14ac:dyDescent="0.3">
      <c r="A1" s="20" t="s">
        <v>59</v>
      </c>
      <c r="B1" s="22"/>
      <c r="C1" s="20" t="s">
        <v>60</v>
      </c>
      <c r="D1" s="22"/>
      <c r="E1" s="20" t="s">
        <v>61</v>
      </c>
      <c r="F1" s="22"/>
      <c r="G1" s="20" t="s">
        <v>62</v>
      </c>
      <c r="H1" s="22"/>
      <c r="I1" s="21" t="s">
        <v>63</v>
      </c>
      <c r="J1" s="22"/>
    </row>
    <row r="2" spans="1:10" ht="14.4" customHeight="1" x14ac:dyDescent="0.3">
      <c r="A2" s="23">
        <f>SUM(Tabela13[Valor])</f>
        <v>8540</v>
      </c>
      <c r="B2" s="28"/>
      <c r="C2" s="36">
        <f>MAX(Tabela13[Valor])</f>
        <v>1800</v>
      </c>
      <c r="D2" s="37"/>
      <c r="E2" s="32">
        <f>AVERAGE(Tabela13[Valor])</f>
        <v>569.33333333333337</v>
      </c>
      <c r="F2" s="33"/>
      <c r="G2" s="30">
        <f>COUNTA('Base Limpa'!A:A)-1</f>
        <v>15</v>
      </c>
      <c r="H2" s="24"/>
      <c r="I2" s="19">
        <f>COUNTA('Base Limpa'!H4:H18)</f>
        <v>15</v>
      </c>
      <c r="J2" s="24"/>
    </row>
    <row r="3" spans="1:10" ht="14.4" customHeight="1" thickBot="1" x14ac:dyDescent="0.35">
      <c r="A3" s="25"/>
      <c r="B3" s="29"/>
      <c r="C3" s="31"/>
      <c r="D3" s="27"/>
      <c r="E3" s="34"/>
      <c r="F3" s="35"/>
      <c r="G3" s="31"/>
      <c r="H3" s="27"/>
      <c r="I3" s="26"/>
      <c r="J3" s="27"/>
    </row>
    <row r="23" ht="22.8" customHeight="1" x14ac:dyDescent="0.3"/>
  </sheetData>
  <mergeCells count="15">
    <mergeCell ref="G2:H2"/>
    <mergeCell ref="G3:H3"/>
    <mergeCell ref="I2:J2"/>
    <mergeCell ref="I3:J3"/>
    <mergeCell ref="A2:B2"/>
    <mergeCell ref="A3:B3"/>
    <mergeCell ref="C2:D2"/>
    <mergeCell ref="C3:D3"/>
    <mergeCell ref="E2:F2"/>
    <mergeCell ref="E3:F3"/>
    <mergeCell ref="A1:B1"/>
    <mergeCell ref="C1:D1"/>
    <mergeCell ref="E1:F1"/>
    <mergeCell ref="G1:H1"/>
    <mergeCell ref="I1:J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Suja</vt:lpstr>
      <vt:lpstr>Base Limpa</vt:lpstr>
      <vt:lpstr>Tabelas Dinâmicas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BARBOSA</dc:creator>
  <cp:lastModifiedBy>ANDERSON BARBOSA</cp:lastModifiedBy>
  <dcterms:created xsi:type="dcterms:W3CDTF">2026-05-24T14:18:07Z</dcterms:created>
  <dcterms:modified xsi:type="dcterms:W3CDTF">2026-05-24T15:48:05Z</dcterms:modified>
</cp:coreProperties>
</file>